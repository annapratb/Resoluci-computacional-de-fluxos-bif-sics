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\Documents\MÀSTER\TFM\VALIDACIONS\"/>
    </mc:Choice>
  </mc:AlternateContent>
  <xr:revisionPtr revIDLastSave="0" documentId="13_ncr:1_{00AA0E3F-DBF5-478F-B83A-E8D6DB14A5C3}" xr6:coauthVersionLast="47" xr6:coauthVersionMax="47" xr10:uidLastSave="{00000000-0000-0000-0000-000000000000}"/>
  <bookViews>
    <workbookView xWindow="3996" yWindow="0" windowWidth="14112" windowHeight="12372" activeTab="7" xr2:uid="{00000000-000D-0000-FFFF-FFFF00000000}"/>
  </bookViews>
  <sheets>
    <sheet name="dt = 500 s" sheetId="1" r:id="rId1"/>
    <sheet name="dt = 250 s" sheetId="2" r:id="rId2"/>
    <sheet name="dt = 100 s" sheetId="3" r:id="rId3"/>
    <sheet name="dt = 50 s" sheetId="4" r:id="rId4"/>
    <sheet name="dt = 10 s" sheetId="5" r:id="rId5"/>
    <sheet name="dt = 5 s" sheetId="6" r:id="rId6"/>
    <sheet name="dt = 3 s" sheetId="7" r:id="rId7"/>
    <sheet name="ERROR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8" l="1"/>
  <c r="P7" i="8"/>
  <c r="P6" i="8"/>
  <c r="O8" i="8"/>
  <c r="O6" i="8"/>
  <c r="O7" i="8"/>
  <c r="N8" i="8"/>
  <c r="N7" i="8"/>
  <c r="N6" i="8"/>
</calcChain>
</file>

<file path=xl/sharedStrings.xml><?xml version="1.0" encoding="utf-8"?>
<sst xmlns="http://schemas.openxmlformats.org/spreadsheetml/2006/main" count="60" uniqueCount="11">
  <si>
    <t>Temps_s</t>
  </si>
  <si>
    <t>P_out_bar</t>
  </si>
  <si>
    <t>H_out_kJ_kg</t>
  </si>
  <si>
    <t>T_out_C</t>
  </si>
  <si>
    <t>Alpha_mitja_W_m2K</t>
  </si>
  <si>
    <t>dt = 10s</t>
  </si>
  <si>
    <t>dt = 5s</t>
  </si>
  <si>
    <t>dt = 3s</t>
  </si>
  <si>
    <t>error alpha max(%)</t>
  </si>
  <si>
    <t>error T dt=30s</t>
  </si>
  <si>
    <t>error Pestacionari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</si>
</sst>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baseColWidth="10" defaultColWidth="8.88671875" defaultRowHeight="14.4" x14ac:dyDescent="0.3"/>
  <cols>
    <col min="1" max="1" width="8.109375" customWidth="1"/>
    <col min="2" max="2" width="9.44140625" customWidth="1"/>
    <col min="3" max="3" width="11.33203125" customWidth="1"/>
    <col min="4" max="4" width="7.88671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500</v>
      </c>
      <c r="B2">
        <v>3.7275958188824578</v>
      </c>
      <c r="C2">
        <v>328.67591340290943</v>
      </c>
      <c r="D2">
        <v>6.8540092878674841</v>
      </c>
      <c r="E2">
        <v>2300.3272648048146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baseColWidth="10" defaultColWidth="8.88671875" defaultRowHeight="14.4" x14ac:dyDescent="0.3"/>
  <cols>
    <col min="1" max="1" width="8.109375" customWidth="1"/>
    <col min="2" max="4" width="11.5546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250</v>
      </c>
      <c r="B2">
        <v>3.727560261221452</v>
      </c>
      <c r="C2">
        <v>319.20217114046568</v>
      </c>
      <c r="D2">
        <v>6.8537307656985149</v>
      </c>
      <c r="E2">
        <v>2290.4685408933751</v>
      </c>
    </row>
    <row r="3" spans="1:5" x14ac:dyDescent="0.3">
      <c r="A3">
        <v>500</v>
      </c>
      <c r="B3">
        <v>3.6875850702952424</v>
      </c>
      <c r="C3">
        <v>338.94101439456432</v>
      </c>
      <c r="D3">
        <v>6.5393131615862785</v>
      </c>
      <c r="E3">
        <v>3110.4887045210221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/>
  </sheetViews>
  <sheetFormatPr baseColWidth="10" defaultColWidth="8.88671875" defaultRowHeight="14.4" x14ac:dyDescent="0.3"/>
  <cols>
    <col min="1" max="1" width="8.109375" customWidth="1"/>
    <col min="2" max="4" width="11.5546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100</v>
      </c>
      <c r="B2">
        <v>3.7242557696085972</v>
      </c>
      <c r="C2">
        <v>298.07191261976146</v>
      </c>
      <c r="D2">
        <v>6.8278379044608641</v>
      </c>
      <c r="E2">
        <v>2267.1338293552822</v>
      </c>
    </row>
    <row r="3" spans="1:5" x14ac:dyDescent="0.3">
      <c r="A3">
        <v>200</v>
      </c>
      <c r="B3">
        <v>3.626156778843022</v>
      </c>
      <c r="C3">
        <v>336.66052066664821</v>
      </c>
      <c r="D3">
        <v>6.051040851054438</v>
      </c>
      <c r="E3">
        <v>3249.6164610915725</v>
      </c>
    </row>
    <row r="4" spans="1:5" x14ac:dyDescent="0.3">
      <c r="A4">
        <v>300</v>
      </c>
      <c r="B4">
        <v>3.7252126677193433</v>
      </c>
      <c r="C4">
        <v>339.81996533276509</v>
      </c>
      <c r="D4">
        <v>6.8353376354705802</v>
      </c>
      <c r="E4">
        <v>3019.4637718907306</v>
      </c>
    </row>
    <row r="5" spans="1:5" x14ac:dyDescent="0.3">
      <c r="A5">
        <v>400</v>
      </c>
      <c r="B5">
        <v>3.727047208391328</v>
      </c>
      <c r="C5">
        <v>339.8821955149084</v>
      </c>
      <c r="D5">
        <v>6.8497118110502697</v>
      </c>
      <c r="E5">
        <v>3014.9445450400085</v>
      </c>
    </row>
    <row r="6" spans="1:5" x14ac:dyDescent="0.3">
      <c r="A6">
        <v>500</v>
      </c>
      <c r="B6">
        <v>3.7270697023622259</v>
      </c>
      <c r="C6">
        <v>339.88311270325619</v>
      </c>
      <c r="D6">
        <v>6.8498880244767975</v>
      </c>
      <c r="E6">
        <v>3014.8896219040125</v>
      </c>
    </row>
    <row r="7" spans="1:5" x14ac:dyDescent="0.3">
      <c r="A7">
        <v>600</v>
      </c>
      <c r="B7">
        <v>3.7270701016324654</v>
      </c>
      <c r="C7">
        <v>339.88312715626148</v>
      </c>
      <c r="D7">
        <v>6.8498911522754611</v>
      </c>
      <c r="E7">
        <v>3014.8886570344389</v>
      </c>
    </row>
    <row r="8" spans="1:5" x14ac:dyDescent="0.3">
      <c r="A8">
        <v>700</v>
      </c>
      <c r="B8">
        <v>3.7270701079210862</v>
      </c>
      <c r="C8">
        <v>339.88312736100193</v>
      </c>
      <c r="D8">
        <v>6.8498912015390943</v>
      </c>
      <c r="E8">
        <v>3014.8886419521482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baseColWidth="10" defaultColWidth="8.88671875" defaultRowHeight="14.4" x14ac:dyDescent="0.3"/>
  <cols>
    <col min="1" max="1" width="8.109375" customWidth="1"/>
    <col min="2" max="4" width="11.5546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50</v>
      </c>
      <c r="B2">
        <v>3.7109413433703895</v>
      </c>
      <c r="C2">
        <v>276.67188763889681</v>
      </c>
      <c r="D2">
        <v>6.7233323257253232</v>
      </c>
      <c r="E2">
        <v>2246.6300966980839</v>
      </c>
    </row>
    <row r="3" spans="1:5" x14ac:dyDescent="0.3">
      <c r="A3">
        <v>100</v>
      </c>
      <c r="B3">
        <v>3.5195744121806229</v>
      </c>
      <c r="C3">
        <v>331.17100340266256</v>
      </c>
      <c r="D3">
        <v>5.1886258109289543</v>
      </c>
      <c r="E3">
        <v>3469.2028259263666</v>
      </c>
    </row>
    <row r="4" spans="1:5" x14ac:dyDescent="0.3">
      <c r="A4">
        <v>150</v>
      </c>
      <c r="B4">
        <v>3.720362944274429</v>
      </c>
      <c r="C4">
        <v>339.53619903916098</v>
      </c>
      <c r="D4">
        <v>6.7973125185968115</v>
      </c>
      <c r="E4">
        <v>3031.5034587463092</v>
      </c>
    </row>
    <row r="5" spans="1:5" x14ac:dyDescent="0.3">
      <c r="A5">
        <v>200</v>
      </c>
      <c r="B5">
        <v>3.7268534681503946</v>
      </c>
      <c r="C5">
        <v>339.87126298913012</v>
      </c>
      <c r="D5">
        <v>6.8481940537354262</v>
      </c>
      <c r="E5">
        <v>3015.4212412492689</v>
      </c>
    </row>
    <row r="6" spans="1:5" x14ac:dyDescent="0.3">
      <c r="A6">
        <v>250</v>
      </c>
      <c r="B6">
        <v>3.7270625538939552</v>
      </c>
      <c r="C6">
        <v>339.88275502073742</v>
      </c>
      <c r="D6">
        <v>6.8498320248442042</v>
      </c>
      <c r="E6">
        <v>3014.9070032612453</v>
      </c>
    </row>
    <row r="7" spans="1:5" x14ac:dyDescent="0.3">
      <c r="A7">
        <v>300</v>
      </c>
      <c r="B7">
        <v>3.7270698941467955</v>
      </c>
      <c r="C7">
        <v>339.8831172512028</v>
      </c>
      <c r="D7">
        <v>6.8498895268765523</v>
      </c>
      <c r="E7">
        <v>3014.8891577803856</v>
      </c>
    </row>
    <row r="8" spans="1:5" x14ac:dyDescent="0.3">
      <c r="A8">
        <v>350</v>
      </c>
      <c r="B8">
        <v>3.7270701028726076</v>
      </c>
      <c r="C8">
        <v>339.88312711827615</v>
      </c>
      <c r="D8">
        <v>6.8498911619904561</v>
      </c>
      <c r="E8">
        <v>3014.8886540727108</v>
      </c>
    </row>
    <row r="9" spans="1:5" x14ac:dyDescent="0.3">
      <c r="A9">
        <v>400</v>
      </c>
      <c r="B9">
        <v>3.7270701079221653</v>
      </c>
      <c r="C9">
        <v>339.88312735517428</v>
      </c>
      <c r="D9">
        <v>6.8498912015475639</v>
      </c>
      <c r="E9">
        <v>3014.8886419542973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sqref="A1:E13"/>
    </sheetView>
  </sheetViews>
  <sheetFormatPr baseColWidth="10" defaultColWidth="8.88671875" defaultRowHeight="14.4" x14ac:dyDescent="0.3"/>
  <cols>
    <col min="1" max="1" width="8.109375" customWidth="1"/>
    <col min="2" max="3" width="11.5546875" customWidth="1"/>
    <col min="4" max="4" width="12.21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</v>
      </c>
      <c r="B2">
        <v>3.490936702784754</v>
      </c>
      <c r="C2">
        <v>232.45724711672094</v>
      </c>
      <c r="D2">
        <v>4.9534999677748033</v>
      </c>
      <c r="E2">
        <v>2367.5730403099187</v>
      </c>
    </row>
    <row r="3" spans="1:5" x14ac:dyDescent="0.3">
      <c r="A3">
        <v>20</v>
      </c>
      <c r="B3">
        <v>2.6717480614494566</v>
      </c>
      <c r="C3">
        <v>274.54187338312278</v>
      </c>
      <c r="D3">
        <v>-2.5016503544085253</v>
      </c>
      <c r="E3">
        <v>4686.9542872011725</v>
      </c>
    </row>
    <row r="4" spans="1:5" x14ac:dyDescent="0.3">
      <c r="A4">
        <v>30</v>
      </c>
      <c r="B4">
        <v>3.6255279377589478</v>
      </c>
      <c r="C4">
        <v>324.80923359363982</v>
      </c>
      <c r="D4">
        <v>6.0460098025999969</v>
      </c>
      <c r="E4">
        <v>3263.8862318665347</v>
      </c>
    </row>
    <row r="5" spans="1:5" x14ac:dyDescent="0.3">
      <c r="A5">
        <v>40</v>
      </c>
      <c r="B5">
        <v>3.7107367056173306</v>
      </c>
      <c r="C5">
        <v>336.96626429507199</v>
      </c>
      <c r="D5">
        <v>6.721723878680109</v>
      </c>
      <c r="E5">
        <v>3057.0015571524145</v>
      </c>
    </row>
    <row r="6" spans="1:5" x14ac:dyDescent="0.3">
      <c r="A6">
        <v>50</v>
      </c>
      <c r="B6">
        <v>3.7241056667072652</v>
      </c>
      <c r="C6">
        <v>339.42080432523409</v>
      </c>
      <c r="D6">
        <v>6.8266613327044752</v>
      </c>
      <c r="E6">
        <v>3022.403711657817</v>
      </c>
    </row>
    <row r="7" spans="1:5" x14ac:dyDescent="0.3">
      <c r="A7">
        <v>60</v>
      </c>
      <c r="B7">
        <v>3.7266488299999367</v>
      </c>
      <c r="C7">
        <v>339.82061063274028</v>
      </c>
      <c r="D7">
        <v>6.8465908569000931</v>
      </c>
      <c r="E7">
        <v>3015.9436448110418</v>
      </c>
    </row>
    <row r="8" spans="1:5" x14ac:dyDescent="0.3">
      <c r="A8">
        <v>70</v>
      </c>
      <c r="B8">
        <v>3.7270181963058167</v>
      </c>
      <c r="C8">
        <v>339.87564789712673</v>
      </c>
      <c r="D8">
        <v>6.8494845347713067</v>
      </c>
      <c r="E8">
        <v>3015.017319841631</v>
      </c>
    </row>
    <row r="9" spans="1:5" x14ac:dyDescent="0.3">
      <c r="A9">
        <v>80</v>
      </c>
      <c r="B9">
        <v>3.7270643697962997</v>
      </c>
      <c r="C9">
        <v>339.88232106525919</v>
      </c>
      <c r="D9">
        <v>6.8498462502580537</v>
      </c>
      <c r="E9">
        <v>3014.9027451197817</v>
      </c>
    </row>
    <row r="10" spans="1:5" x14ac:dyDescent="0.3">
      <c r="A10">
        <v>90</v>
      </c>
      <c r="B10">
        <v>3.7270695321609359</v>
      </c>
      <c r="C10">
        <v>339.88304807911328</v>
      </c>
      <c r="D10">
        <v>6.8498866911557457</v>
      </c>
      <c r="E10">
        <v>3014.8900472309592</v>
      </c>
    </row>
    <row r="11" spans="1:5" x14ac:dyDescent="0.3">
      <c r="A11">
        <v>100</v>
      </c>
      <c r="B11">
        <v>3.7270700552706968</v>
      </c>
      <c r="C11">
        <v>339.88312016339262</v>
      </c>
      <c r="D11">
        <v>6.8498907890871692</v>
      </c>
      <c r="E11">
        <v>3014.8887697639625</v>
      </c>
    </row>
    <row r="12" spans="1:5" x14ac:dyDescent="0.3">
      <c r="A12">
        <v>110</v>
      </c>
      <c r="B12">
        <v>3.727070103844389</v>
      </c>
      <c r="C12">
        <v>339.88312673393108</v>
      </c>
      <c r="D12">
        <v>6.8498911696031541</v>
      </c>
      <c r="E12">
        <v>3014.888651850049</v>
      </c>
    </row>
    <row r="13" spans="1:5" x14ac:dyDescent="0.3">
      <c r="A13">
        <v>120</v>
      </c>
      <c r="B13">
        <v>3.7270701080153721</v>
      </c>
      <c r="C13">
        <v>339.88312728917191</v>
      </c>
      <c r="D13">
        <v>6.8498912022777745</v>
      </c>
      <c r="E13">
        <v>3014.888641775472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sqref="A1:E17"/>
    </sheetView>
  </sheetViews>
  <sheetFormatPr baseColWidth="10" defaultColWidth="8.88671875" defaultRowHeight="14.4" x14ac:dyDescent="0.3"/>
  <cols>
    <col min="1" max="1" width="8.109375" customWidth="1"/>
    <col min="2" max="3" width="11.5546875" customWidth="1"/>
    <col min="4" max="4" width="12.21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</v>
      </c>
      <c r="B2">
        <v>3.0943774119152421</v>
      </c>
      <c r="C2">
        <v>219.39721712261013</v>
      </c>
      <c r="D2">
        <v>1.5348584892608983</v>
      </c>
      <c r="E2">
        <v>2660.7909483486546</v>
      </c>
    </row>
    <row r="3" spans="1:5" x14ac:dyDescent="0.3">
      <c r="A3">
        <v>10</v>
      </c>
      <c r="B3">
        <v>1.6883579796667225</v>
      </c>
      <c r="C3">
        <v>227.12261923728576</v>
      </c>
      <c r="D3">
        <v>-14.284793610464305</v>
      </c>
      <c r="E3">
        <v>5466.3251897879863</v>
      </c>
    </row>
    <row r="4" spans="1:5" x14ac:dyDescent="0.3">
      <c r="A4">
        <v>15</v>
      </c>
      <c r="B4">
        <v>3.4687527435863728</v>
      </c>
      <c r="C4">
        <v>293.76624657861953</v>
      </c>
      <c r="D4">
        <v>4.7703443551160944</v>
      </c>
      <c r="E4">
        <v>3605.2738147229616</v>
      </c>
    </row>
    <row r="5" spans="1:5" x14ac:dyDescent="0.3">
      <c r="A5">
        <v>20</v>
      </c>
      <c r="B5">
        <v>3.6621168874668646</v>
      </c>
      <c r="C5">
        <v>321.09663177420305</v>
      </c>
      <c r="D5">
        <v>6.3376360384187365</v>
      </c>
      <c r="E5">
        <v>3187.5012565977895</v>
      </c>
    </row>
    <row r="6" spans="1:5" x14ac:dyDescent="0.3">
      <c r="A6">
        <v>25</v>
      </c>
      <c r="B6">
        <v>3.7037981847362897</v>
      </c>
      <c r="C6">
        <v>333.65499296452339</v>
      </c>
      <c r="D6">
        <v>6.6671471182956452</v>
      </c>
      <c r="E6">
        <v>3076.2533761684522</v>
      </c>
    </row>
    <row r="7" spans="1:5" x14ac:dyDescent="0.3">
      <c r="A7">
        <v>30</v>
      </c>
      <c r="B7">
        <v>3.7204444863556745</v>
      </c>
      <c r="C7">
        <v>338.17686929747452</v>
      </c>
      <c r="D7">
        <v>6.7979521768978657</v>
      </c>
      <c r="E7">
        <v>3032.178659019562</v>
      </c>
    </row>
    <row r="8" spans="1:5" x14ac:dyDescent="0.3">
      <c r="A8">
        <v>35</v>
      </c>
      <c r="B8">
        <v>3.7254422937398699</v>
      </c>
      <c r="C8">
        <v>339.47823401752419</v>
      </c>
      <c r="D8">
        <v>6.8371371203738818</v>
      </c>
      <c r="E8">
        <v>3019.0796447364655</v>
      </c>
    </row>
    <row r="9" spans="1:5" x14ac:dyDescent="0.3">
      <c r="A9">
        <v>40</v>
      </c>
      <c r="B9">
        <v>3.7267157335203978</v>
      </c>
      <c r="C9">
        <v>339.79727001905604</v>
      </c>
      <c r="D9">
        <v>6.8471150066120003</v>
      </c>
      <c r="E9">
        <v>3015.7898709040414</v>
      </c>
    </row>
    <row r="10" spans="1:5" x14ac:dyDescent="0.3">
      <c r="A10">
        <v>45</v>
      </c>
      <c r="B10">
        <v>3.7270003400744218</v>
      </c>
      <c r="C10">
        <v>339.86655728830505</v>
      </c>
      <c r="D10">
        <v>6.8493446510894955</v>
      </c>
      <c r="E10">
        <v>3015.0642346442187</v>
      </c>
    </row>
    <row r="11" spans="1:5" x14ac:dyDescent="0.3">
      <c r="A11">
        <v>50</v>
      </c>
      <c r="B11">
        <v>3.7270575071495555</v>
      </c>
      <c r="C11">
        <v>339.88018291225995</v>
      </c>
      <c r="D11">
        <v>6.8497924896353766</v>
      </c>
      <c r="E11">
        <v>3014.9200793316127</v>
      </c>
    </row>
    <row r="12" spans="1:5" x14ac:dyDescent="0.3">
      <c r="A12">
        <v>55</v>
      </c>
      <c r="B12">
        <v>3.7270680003977601</v>
      </c>
      <c r="C12">
        <v>339.88264150744953</v>
      </c>
      <c r="D12">
        <v>6.8498746916440609</v>
      </c>
      <c r="E12">
        <v>3014.8938613064774</v>
      </c>
    </row>
    <row r="13" spans="1:5" x14ac:dyDescent="0.3">
      <c r="A13">
        <v>60</v>
      </c>
      <c r="B13">
        <v>3.7270697795936094</v>
      </c>
      <c r="C13">
        <v>339.8830523696671</v>
      </c>
      <c r="D13">
        <v>6.8498886294911472</v>
      </c>
      <c r="E13">
        <v>3014.8894500835172</v>
      </c>
    </row>
    <row r="14" spans="1:5" x14ac:dyDescent="0.3">
      <c r="A14">
        <v>65</v>
      </c>
      <c r="B14">
        <v>3.7270700605279545</v>
      </c>
      <c r="C14">
        <v>339.88311643474225</v>
      </c>
      <c r="D14">
        <v>6.8498908302714199</v>
      </c>
      <c r="E14">
        <v>3014.8887580950441</v>
      </c>
    </row>
    <row r="15" spans="1:5" x14ac:dyDescent="0.3">
      <c r="A15">
        <v>70</v>
      </c>
      <c r="B15">
        <v>3.7270701021166053</v>
      </c>
      <c r="C15">
        <v>339.88312581520006</v>
      </c>
      <c r="D15">
        <v>6.8498911560681108</v>
      </c>
      <c r="E15">
        <v>3014.8886562255416</v>
      </c>
    </row>
    <row r="16" spans="1:5" x14ac:dyDescent="0.3">
      <c r="A16">
        <v>75</v>
      </c>
      <c r="B16">
        <v>3.7270701079225783</v>
      </c>
      <c r="C16">
        <v>339.8831271121843</v>
      </c>
      <c r="D16">
        <v>6.8498912015508608</v>
      </c>
      <c r="E16">
        <v>3014.888642072106</v>
      </c>
    </row>
    <row r="17" spans="1:5" x14ac:dyDescent="0.3">
      <c r="A17">
        <v>80</v>
      </c>
      <c r="B17">
        <v>3.7270701086909366</v>
      </c>
      <c r="C17">
        <v>339.88312728237179</v>
      </c>
      <c r="D17">
        <v>6.8498912075700105</v>
      </c>
      <c r="E17">
        <v>3014.8886402067897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sqref="A1:E20"/>
    </sheetView>
  </sheetViews>
  <sheetFormatPr baseColWidth="10" defaultColWidth="8.88671875" defaultRowHeight="14.4" x14ac:dyDescent="0.3"/>
  <cols>
    <col min="1" max="1" width="8.109375" customWidth="1"/>
    <col min="2" max="2" width="12.5546875" customWidth="1"/>
    <col min="3" max="3" width="11.5546875" customWidth="1"/>
    <col min="4" max="4" width="12.21875" customWidth="1"/>
    <col min="5" max="5" width="1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</v>
      </c>
      <c r="B2">
        <v>2.3322934626981202</v>
      </c>
      <c r="C2">
        <v>204.94393198170852</v>
      </c>
      <c r="D2">
        <v>-6.1175967049999258</v>
      </c>
      <c r="E2">
        <v>3092.2436513947346</v>
      </c>
    </row>
    <row r="3" spans="1:5" x14ac:dyDescent="0.3">
      <c r="A3">
        <v>6</v>
      </c>
      <c r="B3">
        <v>0.34720435260917759</v>
      </c>
      <c r="C3">
        <v>138.88530832114023</v>
      </c>
      <c r="D3">
        <v>-47.411830475819471</v>
      </c>
      <c r="E3">
        <v>5939.8859140471041</v>
      </c>
    </row>
    <row r="4" spans="1:5" x14ac:dyDescent="0.3">
      <c r="A4">
        <v>9</v>
      </c>
      <c r="B4">
        <v>3.3123695128028201</v>
      </c>
      <c r="C4">
        <v>226.93756993187202</v>
      </c>
      <c r="D4">
        <v>3.453085019145135</v>
      </c>
      <c r="E4">
        <v>3890.3777518222346</v>
      </c>
    </row>
    <row r="5" spans="1:5" x14ac:dyDescent="0.3">
      <c r="A5">
        <v>12</v>
      </c>
      <c r="B5">
        <v>3.5864903435889213</v>
      </c>
      <c r="C5">
        <v>290.48648094425874</v>
      </c>
      <c r="D5">
        <v>5.7323736695300909</v>
      </c>
      <c r="E5">
        <v>3377.4728625582538</v>
      </c>
    </row>
    <row r="6" spans="1:5" x14ac:dyDescent="0.3">
      <c r="A6">
        <v>15</v>
      </c>
      <c r="B6">
        <v>3.6522092986180978</v>
      </c>
      <c r="C6">
        <v>313.97965143433794</v>
      </c>
      <c r="D6">
        <v>6.2588900775689353</v>
      </c>
      <c r="E6">
        <v>3214.5934404795444</v>
      </c>
    </row>
    <row r="7" spans="1:5" x14ac:dyDescent="0.3">
      <c r="A7">
        <v>18</v>
      </c>
      <c r="B7">
        <v>3.6938151162740263</v>
      </c>
      <c r="C7">
        <v>327.83520121306367</v>
      </c>
      <c r="D7">
        <v>6.5884853436177764</v>
      </c>
      <c r="E7">
        <v>3104.9498547013</v>
      </c>
    </row>
    <row r="8" spans="1:5" x14ac:dyDescent="0.3">
      <c r="A8">
        <v>21</v>
      </c>
      <c r="B8">
        <v>3.7137264015403111</v>
      </c>
      <c r="C8">
        <v>335.05826552055032</v>
      </c>
      <c r="D8">
        <v>6.7452160661752032</v>
      </c>
      <c r="E8">
        <v>3050.7662633612199</v>
      </c>
    </row>
    <row r="9" spans="1:5" x14ac:dyDescent="0.3">
      <c r="A9">
        <v>24</v>
      </c>
      <c r="B9">
        <v>3.7222886062671803</v>
      </c>
      <c r="C9">
        <v>338.18749461705198</v>
      </c>
      <c r="D9">
        <v>6.8124155467403966</v>
      </c>
      <c r="E9">
        <v>3027.5720207232753</v>
      </c>
    </row>
    <row r="10" spans="1:5" x14ac:dyDescent="0.3">
      <c r="A10">
        <v>27</v>
      </c>
      <c r="B10">
        <v>3.7255312392399631</v>
      </c>
      <c r="C10">
        <v>339.3473464630012</v>
      </c>
      <c r="D10">
        <v>6.8378341269775547</v>
      </c>
      <c r="E10">
        <v>3018.9158535558813</v>
      </c>
    </row>
    <row r="11" spans="1:5" x14ac:dyDescent="0.3">
      <c r="A11">
        <v>30</v>
      </c>
      <c r="B11">
        <v>3.7266183679476939</v>
      </c>
      <c r="C11">
        <v>339.72806905014909</v>
      </c>
      <c r="D11">
        <v>6.8463522022634038</v>
      </c>
      <c r="E11">
        <v>3016.056712882088</v>
      </c>
    </row>
    <row r="12" spans="1:5" x14ac:dyDescent="0.3">
      <c r="A12">
        <v>33</v>
      </c>
      <c r="B12">
        <v>3.7269475401719068</v>
      </c>
      <c r="C12">
        <v>339.84151941446879</v>
      </c>
      <c r="D12">
        <v>6.8489310196731026</v>
      </c>
      <c r="E12">
        <v>3015.2022872909561</v>
      </c>
    </row>
    <row r="13" spans="1:5" x14ac:dyDescent="0.3">
      <c r="A13">
        <v>36</v>
      </c>
      <c r="B13">
        <v>3.7270390783348701</v>
      </c>
      <c r="C13">
        <v>339.87268866910995</v>
      </c>
      <c r="D13">
        <v>6.8496481215570384</v>
      </c>
      <c r="E13">
        <v>3014.9673370119276</v>
      </c>
    </row>
    <row r="14" spans="1:5" x14ac:dyDescent="0.3">
      <c r="A14">
        <v>39</v>
      </c>
      <c r="B14">
        <v>3.7270627279202926</v>
      </c>
      <c r="C14">
        <v>339.88066342982256</v>
      </c>
      <c r="D14">
        <v>6.849833388131799</v>
      </c>
      <c r="E14">
        <v>3014.9072145334412</v>
      </c>
    </row>
    <row r="15" spans="1:5" x14ac:dyDescent="0.3">
      <c r="A15">
        <v>42</v>
      </c>
      <c r="B15">
        <v>3.7270684504996483</v>
      </c>
      <c r="C15">
        <v>339.8825773047771</v>
      </c>
      <c r="D15">
        <v>6.8498782176483246</v>
      </c>
      <c r="E15">
        <v>3014.8927853777773</v>
      </c>
    </row>
    <row r="16" spans="1:5" x14ac:dyDescent="0.3">
      <c r="A16">
        <v>45</v>
      </c>
      <c r="B16">
        <v>3.7270697554833849</v>
      </c>
      <c r="C16">
        <v>339.88301064530691</v>
      </c>
      <c r="D16">
        <v>6.8498884406166667</v>
      </c>
      <c r="E16">
        <v>3014.8895181154699</v>
      </c>
    </row>
    <row r="17" spans="1:5" x14ac:dyDescent="0.3">
      <c r="A17">
        <v>48</v>
      </c>
      <c r="B17">
        <v>3.7270700374014991</v>
      </c>
      <c r="C17">
        <v>339.88310367626769</v>
      </c>
      <c r="D17">
        <v>6.8498906491036564</v>
      </c>
      <c r="E17">
        <v>3014.8888165892563</v>
      </c>
    </row>
    <row r="18" spans="1:5" x14ac:dyDescent="0.3">
      <c r="A18">
        <v>51</v>
      </c>
      <c r="B18">
        <v>3.7270700953622686</v>
      </c>
      <c r="C18">
        <v>339.88312269739282</v>
      </c>
      <c r="D18">
        <v>6.8498911031560397</v>
      </c>
      <c r="E18">
        <v>3014.8886731248826</v>
      </c>
    </row>
    <row r="19" spans="1:5" x14ac:dyDescent="0.3">
      <c r="A19">
        <v>54</v>
      </c>
      <c r="B19">
        <v>3.7270701067498915</v>
      </c>
      <c r="C19">
        <v>339.88312641622184</v>
      </c>
      <c r="D19">
        <v>6.8498911923642822</v>
      </c>
      <c r="E19">
        <v>3014.8886450688083</v>
      </c>
    </row>
    <row r="20" spans="1:5" x14ac:dyDescent="0.3">
      <c r="A20">
        <v>57</v>
      </c>
      <c r="B20">
        <v>3.727070108896045</v>
      </c>
      <c r="C20">
        <v>339.88312711404274</v>
      </c>
      <c r="D20">
        <v>6.8498912091768034</v>
      </c>
      <c r="E20">
        <v>3014.8886398026884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8892-A125-4EA3-8C19-A91106C5F5BB}">
  <dimension ref="A1:P34"/>
  <sheetViews>
    <sheetView tabSelected="1" topLeftCell="C1" zoomScale="67" workbookViewId="0">
      <selection activeCell="P9" sqref="P9"/>
    </sheetView>
  </sheetViews>
  <sheetFormatPr baseColWidth="10" defaultRowHeight="14.4" x14ac:dyDescent="0.3"/>
  <cols>
    <col min="5" max="5" width="19" customWidth="1"/>
    <col min="11" max="11" width="19.88671875" customWidth="1"/>
    <col min="14" max="14" width="20.77734375" customWidth="1"/>
    <col min="15" max="15" width="14" customWidth="1"/>
    <col min="16" max="16" width="18.6640625" customWidth="1"/>
  </cols>
  <sheetData>
    <row r="1" spans="1:16" x14ac:dyDescent="0.3">
      <c r="A1" s="1" t="s">
        <v>5</v>
      </c>
    </row>
    <row r="2" spans="1:16" x14ac:dyDescent="0.3">
      <c r="A2" t="s">
        <v>0</v>
      </c>
      <c r="B2" s="1" t="s">
        <v>1</v>
      </c>
      <c r="C2" t="s">
        <v>2</v>
      </c>
      <c r="D2" t="s">
        <v>3</v>
      </c>
      <c r="E2" t="s">
        <v>4</v>
      </c>
    </row>
    <row r="3" spans="1:16" x14ac:dyDescent="0.3">
      <c r="A3">
        <v>10</v>
      </c>
      <c r="B3">
        <v>3.490936702784754</v>
      </c>
      <c r="C3">
        <v>232.45724711672094</v>
      </c>
      <c r="D3">
        <v>4.9534999677748033</v>
      </c>
      <c r="E3">
        <v>2367.5730403099187</v>
      </c>
    </row>
    <row r="4" spans="1:16" x14ac:dyDescent="0.3">
      <c r="A4">
        <v>20</v>
      </c>
      <c r="B4">
        <v>2.6717480614494566</v>
      </c>
      <c r="C4">
        <v>274.54187338312278</v>
      </c>
      <c r="D4">
        <v>-2.5016503544085253</v>
      </c>
      <c r="E4">
        <v>4686.9542872011725</v>
      </c>
    </row>
    <row r="5" spans="1:16" x14ac:dyDescent="0.3">
      <c r="A5">
        <v>30</v>
      </c>
      <c r="B5">
        <v>3.6255279377589478</v>
      </c>
      <c r="C5">
        <v>324.80923359363982</v>
      </c>
      <c r="D5">
        <v>6.0460098025999969</v>
      </c>
      <c r="E5">
        <v>3263.8862318665347</v>
      </c>
      <c r="M5" t="s">
        <v>0</v>
      </c>
      <c r="N5" s="1" t="s">
        <v>8</v>
      </c>
      <c r="O5" s="1" t="s">
        <v>9</v>
      </c>
      <c r="P5" s="1" t="s">
        <v>10</v>
      </c>
    </row>
    <row r="6" spans="1:16" x14ac:dyDescent="0.3">
      <c r="A6">
        <v>40</v>
      </c>
      <c r="B6">
        <v>3.7107367056173306</v>
      </c>
      <c r="C6">
        <v>336.96626429507199</v>
      </c>
      <c r="D6">
        <v>6.721723878680109</v>
      </c>
      <c r="E6">
        <v>3057.0015571524145</v>
      </c>
      <c r="M6" s="1" t="s">
        <v>5</v>
      </c>
      <c r="N6">
        <f>ABS((E4-$K$10)/$K$10)*100</f>
        <v>21.093530161629896</v>
      </c>
      <c r="O6">
        <f>ABS((D5-$J$18)/$J$18)*100</f>
        <v>11.690055901576473</v>
      </c>
      <c r="P6">
        <f>ABS((B14-$H$27)/$H$27)*100</f>
        <v>2.3629093154496734E-8</v>
      </c>
    </row>
    <row r="7" spans="1:16" x14ac:dyDescent="0.3">
      <c r="A7">
        <v>50</v>
      </c>
      <c r="B7">
        <v>3.7241056667072652</v>
      </c>
      <c r="C7">
        <v>339.42080432523409</v>
      </c>
      <c r="D7">
        <v>6.8266613327044752</v>
      </c>
      <c r="E7">
        <v>3022.403711657817</v>
      </c>
      <c r="G7" s="1" t="s">
        <v>7</v>
      </c>
      <c r="M7" s="1" t="s">
        <v>6</v>
      </c>
      <c r="N7">
        <f>ABS((E20-$K$10)/$K$10)*100</f>
        <v>7.9725558893177482</v>
      </c>
      <c r="O7">
        <f>ABS((D24-$J$18)/$J$18)*100</f>
        <v>0.70694618003341314</v>
      </c>
      <c r="P7">
        <f>ABS((B34-$H$27)/$H$27)*100</f>
        <v>5.5032067746569002E-9</v>
      </c>
    </row>
    <row r="8" spans="1:16" x14ac:dyDescent="0.3">
      <c r="A8">
        <v>60</v>
      </c>
      <c r="B8">
        <v>3.7266488299999367</v>
      </c>
      <c r="C8">
        <v>339.82061063274028</v>
      </c>
      <c r="D8">
        <v>6.8465908569000931</v>
      </c>
      <c r="E8">
        <v>3015.9436448110418</v>
      </c>
      <c r="G8" t="s">
        <v>0</v>
      </c>
      <c r="H8" t="s">
        <v>1</v>
      </c>
      <c r="I8" t="s">
        <v>2</v>
      </c>
      <c r="J8" t="s">
        <v>3</v>
      </c>
      <c r="K8" t="s">
        <v>4</v>
      </c>
      <c r="M8" s="1" t="s">
        <v>7</v>
      </c>
      <c r="N8">
        <f>ABS((K10-$K$10)/$K$10)*100</f>
        <v>0</v>
      </c>
      <c r="O8">
        <f>ABS((J18-$J$18)/$J$18)*100</f>
        <v>0</v>
      </c>
      <c r="P8">
        <f>ABS((H27-$H$27)/$H$27)*100</f>
        <v>0</v>
      </c>
    </row>
    <row r="9" spans="1:16" x14ac:dyDescent="0.3">
      <c r="A9">
        <v>70</v>
      </c>
      <c r="B9">
        <v>3.7270181963058167</v>
      </c>
      <c r="C9">
        <v>339.87564789712673</v>
      </c>
      <c r="D9">
        <v>6.8494845347713067</v>
      </c>
      <c r="E9">
        <v>3015.017319841631</v>
      </c>
      <c r="G9">
        <v>3</v>
      </c>
      <c r="H9">
        <v>2.3322934626981202</v>
      </c>
      <c r="I9">
        <v>204.94393198170852</v>
      </c>
      <c r="J9">
        <v>-6.1175967049999258</v>
      </c>
      <c r="K9">
        <v>3092.2436513947346</v>
      </c>
    </row>
    <row r="10" spans="1:16" x14ac:dyDescent="0.3">
      <c r="A10">
        <v>80</v>
      </c>
      <c r="B10">
        <v>3.7270643697962997</v>
      </c>
      <c r="C10">
        <v>339.88232106525919</v>
      </c>
      <c r="D10">
        <v>6.8498462502580537</v>
      </c>
      <c r="E10">
        <v>3014.9027451197817</v>
      </c>
      <c r="G10">
        <v>6</v>
      </c>
      <c r="H10">
        <v>0.34720435260917759</v>
      </c>
      <c r="I10">
        <v>138.88530832114023</v>
      </c>
      <c r="J10">
        <v>-47.411830475819471</v>
      </c>
      <c r="K10">
        <v>5939.8859140471041</v>
      </c>
    </row>
    <row r="11" spans="1:16" x14ac:dyDescent="0.3">
      <c r="A11">
        <v>90</v>
      </c>
      <c r="B11">
        <v>3.7270695321609359</v>
      </c>
      <c r="C11">
        <v>339.88304807911328</v>
      </c>
      <c r="D11">
        <v>6.8498866911557457</v>
      </c>
      <c r="E11">
        <v>3014.8900472309592</v>
      </c>
      <c r="G11">
        <v>9</v>
      </c>
      <c r="H11">
        <v>3.3123695128028201</v>
      </c>
      <c r="I11">
        <v>226.93756993187202</v>
      </c>
      <c r="J11">
        <v>3.453085019145135</v>
      </c>
      <c r="K11">
        <v>3890.3777518222346</v>
      </c>
    </row>
    <row r="12" spans="1:16" x14ac:dyDescent="0.3">
      <c r="A12">
        <v>100</v>
      </c>
      <c r="B12">
        <v>3.7270700552706968</v>
      </c>
      <c r="C12">
        <v>339.88312016339262</v>
      </c>
      <c r="D12">
        <v>6.8498907890871692</v>
      </c>
      <c r="E12">
        <v>3014.8887697639625</v>
      </c>
      <c r="G12">
        <v>12</v>
      </c>
      <c r="H12">
        <v>3.5864903435889213</v>
      </c>
      <c r="I12">
        <v>290.48648094425874</v>
      </c>
      <c r="J12">
        <v>5.7323736695300909</v>
      </c>
      <c r="K12">
        <v>3377.4728625582538</v>
      </c>
    </row>
    <row r="13" spans="1:16" x14ac:dyDescent="0.3">
      <c r="A13">
        <v>110</v>
      </c>
      <c r="B13">
        <v>3.727070103844389</v>
      </c>
      <c r="C13">
        <v>339.88312673393108</v>
      </c>
      <c r="D13">
        <v>6.8498911696031541</v>
      </c>
      <c r="E13">
        <v>3014.888651850049</v>
      </c>
      <c r="G13">
        <v>15</v>
      </c>
      <c r="H13">
        <v>3.6522092986180978</v>
      </c>
      <c r="I13">
        <v>313.97965143433794</v>
      </c>
      <c r="J13">
        <v>6.2588900775689353</v>
      </c>
      <c r="K13">
        <v>3214.5934404795444</v>
      </c>
    </row>
    <row r="14" spans="1:16" x14ac:dyDescent="0.3">
      <c r="A14">
        <v>120</v>
      </c>
      <c r="B14">
        <v>3.7270701080153721</v>
      </c>
      <c r="C14">
        <v>339.88312728917191</v>
      </c>
      <c r="D14">
        <v>6.8498912022777745</v>
      </c>
      <c r="E14">
        <v>3014.888641775472</v>
      </c>
      <c r="G14">
        <v>18</v>
      </c>
      <c r="H14">
        <v>3.6938151162740263</v>
      </c>
      <c r="I14">
        <v>327.83520121306367</v>
      </c>
      <c r="J14">
        <v>6.5884853436177764</v>
      </c>
      <c r="K14">
        <v>3104.9498547013</v>
      </c>
    </row>
    <row r="15" spans="1:16" x14ac:dyDescent="0.3">
      <c r="G15">
        <v>21</v>
      </c>
      <c r="H15">
        <v>3.7137264015403111</v>
      </c>
      <c r="I15">
        <v>335.05826552055032</v>
      </c>
      <c r="J15">
        <v>6.7452160661752032</v>
      </c>
      <c r="K15">
        <v>3050.7662633612199</v>
      </c>
    </row>
    <row r="16" spans="1:16" x14ac:dyDescent="0.3">
      <c r="G16">
        <v>24</v>
      </c>
      <c r="H16">
        <v>3.7222886062671803</v>
      </c>
      <c r="I16">
        <v>338.18749461705198</v>
      </c>
      <c r="J16">
        <v>6.8124155467403966</v>
      </c>
      <c r="K16">
        <v>3027.5720207232753</v>
      </c>
    </row>
    <row r="17" spans="1:11" x14ac:dyDescent="0.3">
      <c r="A17" s="1" t="s">
        <v>6</v>
      </c>
      <c r="G17">
        <v>27</v>
      </c>
      <c r="H17">
        <v>3.7255312392399631</v>
      </c>
      <c r="I17">
        <v>339.3473464630012</v>
      </c>
      <c r="J17">
        <v>6.8378341269775547</v>
      </c>
      <c r="K17">
        <v>3018.9158535558813</v>
      </c>
    </row>
    <row r="18" spans="1:11" x14ac:dyDescent="0.3">
      <c r="A18" t="s">
        <v>0</v>
      </c>
      <c r="B18" t="s">
        <v>1</v>
      </c>
      <c r="C18" t="s">
        <v>2</v>
      </c>
      <c r="D18" t="s">
        <v>3</v>
      </c>
      <c r="E18" t="s">
        <v>4</v>
      </c>
      <c r="G18">
        <v>30</v>
      </c>
      <c r="H18">
        <v>3.7266183679476939</v>
      </c>
      <c r="I18">
        <v>339.72806905014909</v>
      </c>
      <c r="J18">
        <v>6.8463522022634002</v>
      </c>
      <c r="K18">
        <v>3016.056712882088</v>
      </c>
    </row>
    <row r="19" spans="1:11" x14ac:dyDescent="0.3">
      <c r="A19">
        <v>5</v>
      </c>
      <c r="B19">
        <v>3.0943774119152421</v>
      </c>
      <c r="C19">
        <v>219.39721712261013</v>
      </c>
      <c r="D19">
        <v>1.5348584892608983</v>
      </c>
      <c r="E19">
        <v>2660.7909483486546</v>
      </c>
      <c r="G19">
        <v>33</v>
      </c>
      <c r="H19">
        <v>3.7269475401719068</v>
      </c>
      <c r="I19">
        <v>339.84151941446879</v>
      </c>
      <c r="J19">
        <v>6.8489310196731026</v>
      </c>
      <c r="K19">
        <v>3015.2022872909561</v>
      </c>
    </row>
    <row r="20" spans="1:11" x14ac:dyDescent="0.3">
      <c r="A20">
        <v>10</v>
      </c>
      <c r="B20">
        <v>1.6883579796667225</v>
      </c>
      <c r="C20">
        <v>227.12261923728576</v>
      </c>
      <c r="D20">
        <v>-14.284793610464305</v>
      </c>
      <c r="E20">
        <v>5466.3251897879863</v>
      </c>
      <c r="G20">
        <v>36</v>
      </c>
      <c r="H20">
        <v>3.7270390783348701</v>
      </c>
      <c r="I20">
        <v>339.87268866910995</v>
      </c>
      <c r="J20">
        <v>6.8496481215570384</v>
      </c>
      <c r="K20">
        <v>3014.9673370119276</v>
      </c>
    </row>
    <row r="21" spans="1:11" x14ac:dyDescent="0.3">
      <c r="A21">
        <v>15</v>
      </c>
      <c r="B21">
        <v>3.4687527435863728</v>
      </c>
      <c r="C21">
        <v>293.76624657861953</v>
      </c>
      <c r="D21">
        <v>4.7703443551160944</v>
      </c>
      <c r="E21">
        <v>3605.2738147229616</v>
      </c>
      <c r="G21">
        <v>39</v>
      </c>
      <c r="H21">
        <v>3.7270627279202926</v>
      </c>
      <c r="I21">
        <v>339.88066342982256</v>
      </c>
      <c r="J21">
        <v>6.849833388131799</v>
      </c>
      <c r="K21">
        <v>3014.9072145334412</v>
      </c>
    </row>
    <row r="22" spans="1:11" x14ac:dyDescent="0.3">
      <c r="A22">
        <v>20</v>
      </c>
      <c r="B22">
        <v>3.6621168874668646</v>
      </c>
      <c r="C22">
        <v>321.09663177420305</v>
      </c>
      <c r="D22">
        <v>6.3376360384187365</v>
      </c>
      <c r="E22">
        <v>3187.5012565977895</v>
      </c>
      <c r="G22">
        <v>42</v>
      </c>
      <c r="H22">
        <v>3.7270684504996483</v>
      </c>
      <c r="I22">
        <v>339.8825773047771</v>
      </c>
      <c r="J22">
        <v>6.8498782176483246</v>
      </c>
      <c r="K22">
        <v>3014.8927853777773</v>
      </c>
    </row>
    <row r="23" spans="1:11" x14ac:dyDescent="0.3">
      <c r="A23">
        <v>25</v>
      </c>
      <c r="B23">
        <v>3.7037981847362897</v>
      </c>
      <c r="C23">
        <v>333.65499296452339</v>
      </c>
      <c r="D23">
        <v>6.6671471182956452</v>
      </c>
      <c r="E23">
        <v>3076.2533761684522</v>
      </c>
      <c r="G23">
        <v>45</v>
      </c>
      <c r="H23">
        <v>3.7270697554833849</v>
      </c>
      <c r="I23">
        <v>339.88301064530691</v>
      </c>
      <c r="J23">
        <v>6.8498884406166667</v>
      </c>
      <c r="K23">
        <v>3014.8895181154699</v>
      </c>
    </row>
    <row r="24" spans="1:11" x14ac:dyDescent="0.3">
      <c r="A24">
        <v>30</v>
      </c>
      <c r="B24">
        <v>3.7204444863556745</v>
      </c>
      <c r="C24">
        <v>338.17686929747452</v>
      </c>
      <c r="D24">
        <v>6.7979521768978657</v>
      </c>
      <c r="E24">
        <v>3032.178659019562</v>
      </c>
      <c r="G24">
        <v>48</v>
      </c>
      <c r="H24">
        <v>3.7270700374014991</v>
      </c>
      <c r="I24">
        <v>339.88310367626769</v>
      </c>
      <c r="J24">
        <v>6.8498906491036564</v>
      </c>
      <c r="K24">
        <v>3014.8888165892563</v>
      </c>
    </row>
    <row r="25" spans="1:11" x14ac:dyDescent="0.3">
      <c r="A25">
        <v>35</v>
      </c>
      <c r="B25">
        <v>3.7254422937398699</v>
      </c>
      <c r="C25">
        <v>339.47823401752419</v>
      </c>
      <c r="D25">
        <v>6.8371371203738818</v>
      </c>
      <c r="E25">
        <v>3019.0796447364655</v>
      </c>
      <c r="G25">
        <v>51</v>
      </c>
      <c r="H25">
        <v>3.7270700953622686</v>
      </c>
      <c r="I25">
        <v>339.88312269739282</v>
      </c>
      <c r="J25">
        <v>6.8498911031560397</v>
      </c>
      <c r="K25">
        <v>3014.8886731248826</v>
      </c>
    </row>
    <row r="26" spans="1:11" x14ac:dyDescent="0.3">
      <c r="A26">
        <v>40</v>
      </c>
      <c r="B26">
        <v>3.7267157335203978</v>
      </c>
      <c r="C26">
        <v>339.79727001905604</v>
      </c>
      <c r="D26">
        <v>6.8471150066120003</v>
      </c>
      <c r="E26">
        <v>3015.7898709040414</v>
      </c>
      <c r="G26">
        <v>54</v>
      </c>
      <c r="H26">
        <v>3.7270701067498915</v>
      </c>
      <c r="I26">
        <v>339.88312641622184</v>
      </c>
      <c r="J26">
        <v>6.8498911923642822</v>
      </c>
      <c r="K26">
        <v>3014.8886450688083</v>
      </c>
    </row>
    <row r="27" spans="1:11" x14ac:dyDescent="0.3">
      <c r="A27">
        <v>45</v>
      </c>
      <c r="B27">
        <v>3.7270003400744218</v>
      </c>
      <c r="C27">
        <v>339.86655728830505</v>
      </c>
      <c r="D27">
        <v>6.8493446510894955</v>
      </c>
      <c r="E27">
        <v>3015.0642346442187</v>
      </c>
      <c r="G27">
        <v>57</v>
      </c>
      <c r="H27">
        <v>3.727070108896045</v>
      </c>
      <c r="I27">
        <v>339.88312711404274</v>
      </c>
      <c r="J27">
        <v>6.8498912091768034</v>
      </c>
      <c r="K27">
        <v>3014.8886398026884</v>
      </c>
    </row>
    <row r="28" spans="1:11" x14ac:dyDescent="0.3">
      <c r="A28">
        <v>50</v>
      </c>
      <c r="B28">
        <v>3.7270575071495555</v>
      </c>
      <c r="C28">
        <v>339.88018291225995</v>
      </c>
      <c r="D28">
        <v>6.8497924896353766</v>
      </c>
      <c r="E28">
        <v>3014.9200793316127</v>
      </c>
    </row>
    <row r="29" spans="1:11" x14ac:dyDescent="0.3">
      <c r="A29">
        <v>55</v>
      </c>
      <c r="B29">
        <v>3.7270680003977601</v>
      </c>
      <c r="C29">
        <v>339.88264150744953</v>
      </c>
      <c r="D29">
        <v>6.8498746916440609</v>
      </c>
      <c r="E29">
        <v>3014.8938613064774</v>
      </c>
    </row>
    <row r="30" spans="1:11" x14ac:dyDescent="0.3">
      <c r="A30">
        <v>60</v>
      </c>
      <c r="B30">
        <v>3.7270697795936094</v>
      </c>
      <c r="C30">
        <v>339.8830523696671</v>
      </c>
      <c r="D30">
        <v>6.8498886294911472</v>
      </c>
      <c r="E30">
        <v>3014.8894500835172</v>
      </c>
    </row>
    <row r="31" spans="1:11" x14ac:dyDescent="0.3">
      <c r="A31">
        <v>65</v>
      </c>
      <c r="B31">
        <v>3.7270700605279545</v>
      </c>
      <c r="C31">
        <v>339.88311643474225</v>
      </c>
      <c r="D31">
        <v>6.8498908302714199</v>
      </c>
      <c r="E31">
        <v>3014.8887580950441</v>
      </c>
    </row>
    <row r="32" spans="1:11" x14ac:dyDescent="0.3">
      <c r="A32">
        <v>70</v>
      </c>
      <c r="B32">
        <v>3.7270701021166053</v>
      </c>
      <c r="C32">
        <v>339.88312581520006</v>
      </c>
      <c r="D32">
        <v>6.8498911560681108</v>
      </c>
      <c r="E32">
        <v>3014.8886562255416</v>
      </c>
    </row>
    <row r="33" spans="1:5" x14ac:dyDescent="0.3">
      <c r="A33">
        <v>75</v>
      </c>
      <c r="B33">
        <v>3.7270701079225783</v>
      </c>
      <c r="C33">
        <v>339.8831271121843</v>
      </c>
      <c r="D33">
        <v>6.8498912015508608</v>
      </c>
      <c r="E33">
        <v>3014.888642072106</v>
      </c>
    </row>
    <row r="34" spans="1:5" x14ac:dyDescent="0.3">
      <c r="A34">
        <v>80</v>
      </c>
      <c r="B34">
        <v>3.7270701086909366</v>
      </c>
      <c r="C34">
        <v>339.88312728237179</v>
      </c>
      <c r="D34">
        <v>6.8498912075700105</v>
      </c>
      <c r="E34">
        <v>3014.8886402067897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dt = 500 s</vt:lpstr>
      <vt:lpstr>dt = 250 s</vt:lpstr>
      <vt:lpstr>dt = 100 s</vt:lpstr>
      <vt:lpstr>dt = 50 s</vt:lpstr>
      <vt:lpstr>dt = 10 s</vt:lpstr>
      <vt:lpstr>dt = 5 s</vt:lpstr>
      <vt:lpstr>dt = 3 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Anna Prat</cp:lastModifiedBy>
  <dcterms:modified xsi:type="dcterms:W3CDTF">2026-06-13T23:57:43Z</dcterms:modified>
</cp:coreProperties>
</file>