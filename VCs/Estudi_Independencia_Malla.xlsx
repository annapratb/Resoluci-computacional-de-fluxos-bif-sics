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4.xml"/>
  <Override ContentType="application/vnd.ms-office.chartstyle+xml" PartName="/xl/charts/style4.xml"/>
  <Override ContentType="application/vnd.ms-office.chartcolorstyle+xml" PartName="/xl/charts/colors4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\Documents\MÀSTER\TFM\VALIDACIONS\"/>
    </mc:Choice>
  </mc:AlternateContent>
  <xr:revisionPtr revIDLastSave="0" documentId="13_ncr:1_{DCDDFAFC-DF50-437C-8B76-B8C7488E8DB5}" xr6:coauthVersionLast="47" xr6:coauthVersionMax="47" xr10:uidLastSave="{00000000-0000-0000-0000-000000000000}"/>
  <bookViews>
    <workbookView xWindow="0" yWindow="360" windowWidth="23256" windowHeight="13896"/>
  </bookViews>
  <sheets>
    <sheet name="Resultats Malla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<sst xmlns="http://schemas.openxmlformats.org/spreadsheetml/2006/main" xmlns:r="http://schemas.openxmlformats.org/officeDocument/2006/relationships" xmlns:xdr="http://schemas.openxmlformats.org/drawingml/2006/spreadsheetDrawing" count="19" uniqueCount="9">
  <si>
    <t>NUM_VC</t>
  </si>
  <si>
    <t>P_Sortida_Pa</t>
  </si>
  <si>
    <t>H_Sortida_J_kg</t>
  </si>
  <si>
    <t>T_Sortida_C</t>
  </si>
  <si>
    <t>alpha_mitja_W_m2K</t>
  </si>
  <si>
    <t>ERROR H</t>
  </si>
  <si>
    <t>ERROR T</t>
  </si>
  <si>
    <t>ERROR alpha</t>
  </si>
  <si>
    <t>ERROR P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</si>
</sst>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charts/_rels/chart1.xml.rels><?xml version="1.0" encoding="UTF-8"?><Relationships xmlns="http://schemas.openxmlformats.org/package/2006/relationships"><Relationship Target="colors1.xml" Type="http://schemas.microsoft.com/office/2011/relationships/chartColorStyle" Id="rId2"/><Relationship Target="style1.xml" Type="http://schemas.microsoft.com/office/2011/relationships/chartStyle" Id="rId1"/></Relationships>
</file>

<file path=xl/charts/_rels/chart2.xml.rels><?xml version="1.0" encoding="UTF-8"?><Relationships xmlns="http://schemas.openxmlformats.org/package/2006/relationships"><Relationship Target="colors2.xml" Type="http://schemas.microsoft.com/office/2011/relationships/chartColorStyle" Id="rId2"/><Relationship Target="style2.xml" Type="http://schemas.microsoft.com/office/2011/relationships/chartStyle" Id="rId1"/></Relationships>
</file>

<file path=xl/charts/_rels/chart3.xml.rels><?xml version="1.0" encoding="UTF-8"?><Relationships xmlns="http://schemas.openxmlformats.org/package/2006/relationships"><Relationship Target="colors3.xml" Type="http://schemas.microsoft.com/office/2011/relationships/chartColorStyle" Id="rId2"/><Relationship Target="style3.xml" Type="http://schemas.microsoft.com/office/2011/relationships/chartStyle" Id="rId1"/></Relationships>
</file>

<file path=xl/charts/_rels/chart4.xml.rels><?xml version="1.0" encoding="UTF-8"?><Relationships xmlns="http://schemas.openxmlformats.org/package/2006/relationships"><Relationship Target="colors4.xml" Type="http://schemas.microsoft.com/office/2011/relationships/chartColorStyle" Id="rId2"/><Relationship Target="style4.xml" Type="http://schemas.microsoft.com/office/2011/relationships/chartStyle" Id="rId1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'Resultats Malla'!$A$2:$A$11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</c:numCache>
            </c:numRef>
          </c:xVal>
          <c:yVal>
            <c:numRef>
              <c:f>'Resultats Malla'!$B$2:$B$11</c:f>
              <c:numCache>
                <c:formatCode>General</c:formatCode>
                <c:ptCount val="10"/>
                <c:pt idx="0">
                  <c:v>363230.37370320316</c:v>
                </c:pt>
                <c:pt idx="1">
                  <c:v>363562.18858550227</c:v>
                </c:pt>
                <c:pt idx="2">
                  <c:v>365494.40929990006</c:v>
                </c:pt>
                <c:pt idx="3">
                  <c:v>364970.38144946576</c:v>
                </c:pt>
                <c:pt idx="4">
                  <c:v>364675.47011541273</c:v>
                </c:pt>
                <c:pt idx="5">
                  <c:v>364693.06494147552</c:v>
                </c:pt>
                <c:pt idx="6">
                  <c:v>364698.51756874775</c:v>
                </c:pt>
                <c:pt idx="7">
                  <c:v>364701.22703627287</c:v>
                </c:pt>
                <c:pt idx="8">
                  <c:v>364702.89666777779</c:v>
                </c:pt>
                <c:pt idx="9">
                  <c:v>364704.06585306936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A4-42AC-8FA8-80406EA8A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871840"/>
        <c:axId val="237870880"/>
      </c:scatterChart>
      <c:valAx>
        <c:axId val="23787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870880"/>
        <c:crosses val="autoZero"/>
        <c:crossBetween val="midCat"/>
      </c:valAx>
      <c:valAx>
        <c:axId val="2378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87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'Resultats Malla'!$A$2:$A$11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</c:numCache>
            </c:numRef>
          </c:xVal>
          <c:yVal>
            <c:numRef>
              <c:f>'Resultats Malla'!$C$2:$C$11</c:f>
              <c:numCache>
                <c:formatCode>General</c:formatCode>
                <c:ptCount val="10"/>
                <c:pt idx="0">
                  <c:v>406147.98992578982</c:v>
                </c:pt>
                <c:pt idx="1">
                  <c:v>406148.01817020599</c:v>
                </c:pt>
                <c:pt idx="2">
                  <c:v>406149.42068396602</c:v>
                </c:pt>
                <c:pt idx="3">
                  <c:v>406149.01592317596</c:v>
                </c:pt>
                <c:pt idx="4">
                  <c:v>406148.79124656989</c:v>
                </c:pt>
                <c:pt idx="5">
                  <c:v>406148.79505918018</c:v>
                </c:pt>
                <c:pt idx="6">
                  <c:v>406148.79710631142</c:v>
                </c:pt>
                <c:pt idx="7">
                  <c:v>406148.79831924592</c:v>
                </c:pt>
                <c:pt idx="8">
                  <c:v>406148.79914360511</c:v>
                </c:pt>
                <c:pt idx="9">
                  <c:v>406148.79976113565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45-4B77-ACB9-66D0E26B7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871840"/>
        <c:axId val="237870880"/>
      </c:scatterChart>
      <c:valAx>
        <c:axId val="23787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870880"/>
        <c:crosses val="autoZero"/>
        <c:crossBetween val="midCat"/>
      </c:valAx>
      <c:valAx>
        <c:axId val="2378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87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'Resultats Malla'!$A$2:$A$11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</c:numCache>
            </c:numRef>
          </c:xVal>
          <c:yVal>
            <c:numRef>
              <c:f>'Resultats Malla'!$D$2:$D$11</c:f>
              <c:numCache>
                <c:formatCode>General</c:formatCode>
                <c:ptCount val="10"/>
                <c:pt idx="0">
                  <c:v>10.472511750056299</c:v>
                </c:pt>
                <c:pt idx="1">
                  <c:v>10.482023075783047</c:v>
                </c:pt>
                <c:pt idx="2">
                  <c:v>10.538757921408944</c:v>
                </c:pt>
                <c:pt idx="3">
                  <c:v>10.523344730510132</c:v>
                </c:pt>
                <c:pt idx="4">
                  <c:v>10.514673864087626</c:v>
                </c:pt>
                <c:pt idx="5">
                  <c:v>10.515180733275315</c:v>
                </c:pt>
                <c:pt idx="6">
                  <c:v>10.515338754633888</c:v>
                </c:pt>
                <c:pt idx="7">
                  <c:v>10.515417490257732</c:v>
                </c:pt>
                <c:pt idx="8">
                  <c:v>10.515466092611348</c:v>
                </c:pt>
                <c:pt idx="9">
                  <c:v>10.515500171014196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B8-44AA-A555-0A9E52FE8A37}"/>
            </c:ext>
          </c:extLst>
        </c:ser>
        <c:ser>
          <c:idx val="1"/>
          <c:order val="1"/>
          <c:tx>
            <c:strRef>
              <c:f>'Resultats Malla'!$Q$17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'Resultats Malla'!$A$2:$A$8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</c:numCache>
            </c:numRef>
          </c:xVal>
          <c:yVal>
            <c:numRef>
              <c:f>'Resultats Malla'!$Q$20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B8-44AA-A555-0A9E52FE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871840"/>
        <c:axId val="237870880"/>
      </c:scatterChart>
      <c:valAx>
        <c:axId val="23787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870880"/>
        <c:crosses val="autoZero"/>
        <c:crossBetween val="midCat"/>
      </c:valAx>
      <c:valAx>
        <c:axId val="2378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87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'Resultats Malla'!$A$2:$A$11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</c:numCache>
            </c:numRef>
          </c:xVal>
          <c:yVal>
            <c:numRef>
              <c:f>'Resultats Malla'!$E$2:$E$11</c:f>
              <c:numCache>
                <c:formatCode>General</c:formatCode>
                <c:ptCount val="10"/>
                <c:pt idx="0">
                  <c:v>3072.5647117255721</c:v>
                </c:pt>
                <c:pt idx="1">
                  <c:v>3059.0683024598466</c:v>
                </c:pt>
                <c:pt idx="2">
                  <c:v>2977.7021915278115</c:v>
                </c:pt>
                <c:pt idx="3">
                  <c:v>2999.7397839042878</c:v>
                </c:pt>
                <c:pt idx="4">
                  <c:v>3012.1633343652143</c:v>
                </c:pt>
                <c:pt idx="5">
                  <c:v>3011.4224531972677</c:v>
                </c:pt>
                <c:pt idx="6">
                  <c:v>3011.1793811407988</c:v>
                </c:pt>
                <c:pt idx="7">
                  <c:v>3011.0521943168178</c:v>
                </c:pt>
                <c:pt idx="8">
                  <c:v>3010.9701011146885</c:v>
                </c:pt>
                <c:pt idx="9">
                  <c:v>3010.9101031562259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5E-4813-8839-C5B1A8CCD1D1}"/>
            </c:ext>
          </c:extLst>
        </c:ser>
        <c:ser>
          <c:idx val="1"/>
          <c:order val="1"/>
          <c:tx>
            <c:strRef>
              <c:f>'Resultats Malla'!$Q$17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'Resultats Malla'!$A$2:$A$8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</c:numCache>
            </c:numRef>
          </c:xVal>
          <c:yVal>
            <c:numRef>
              <c:f>'Resultats Malla'!$Q$20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5E-4813-8839-C5B1A8CCD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871840"/>
        <c:axId val="237870880"/>
      </c:scatterChart>
      <c:valAx>
        <c:axId val="23787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870880"/>
        <c:crosses val="autoZero"/>
        <c:crossBetween val="midCat"/>
      </c:valAx>
      <c:valAx>
        <c:axId val="2378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87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?><Relationships xmlns="http://schemas.openxmlformats.org/package/2006/relationships"><Relationship Target="../charts/chart3.xml" Type="http://schemas.openxmlformats.org/officeDocument/2006/relationships/chart" Id="rId3"/><Relationship Target="../charts/chart2.xml" Type="http://schemas.openxmlformats.org/officeDocument/2006/relationships/chart" Id="rId2"/><Relationship Target="../charts/chart1.xml" Type="http://schemas.openxmlformats.org/officeDocument/2006/relationships/chart" Id="rId1"/><Relationship Target="../charts/chart4.xml" Type="http://schemas.openxmlformats.org/officeDocument/2006/relationships/chart" Id="rId4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449580</xdr:colOff>
      <xdr:row>15</xdr:row>
      <xdr:rowOff>179070</xdr:rowOff>
    </xdr:from>
    <xdr:to>
      <xdr:col>7</xdr:col>
      <xdr:colOff>53340</xdr:colOff>
      <xdr:row>30</xdr:row>
      <xdr:rowOff>179070</xdr:rowOff>
    </xdr:to>
    <xdr:graphicFrame macro="">
      <xdr:nvGraphicFramePr>
        <xdr:cNvPr id="2" name="Gráfico 1">
          <a:extLst>
            <a:ext xmlns:a16="http://schemas.microsoft.com/office/drawing/2014/main" uri="{FF2B5EF4-FFF2-40B4-BE49-F238E27FC236}">
              <a16:creationId xmlns:a16="http://schemas.microsoft.com/office/drawing/2014/main" id="{D11FCE42-0635-3DC3-1B3B-BFB77CA16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457200</xdr:colOff>
      <xdr:row>31</xdr:row>
      <xdr:rowOff>152400</xdr:rowOff>
    </xdr:from>
    <xdr:to>
      <xdr:col>7</xdr:col>
      <xdr:colOff>60960</xdr:colOff>
      <xdr:row>46</xdr:row>
      <xdr:rowOff>152400</xdr:rowOff>
    </xdr:to>
    <xdr:graphicFrame macro="">
      <xdr:nvGraphicFramePr>
        <xdr:cNvPr id="3" name="Gráfico 2">
          <a:extLst>
            <a:ext xmlns:a16="http://schemas.microsoft.com/office/drawing/2014/main" uri="{FF2B5EF4-FFF2-40B4-BE49-F238E27FC236}">
              <a16:creationId xmlns:a16="http://schemas.microsoft.com/office/drawing/2014/main" id="{BF88B1F9-2E65-4729-B14C-909B44330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160020</xdr:colOff>
      <xdr:row>15</xdr:row>
      <xdr:rowOff>152400</xdr:rowOff>
    </xdr:from>
    <xdr:to>
      <xdr:col>15</xdr:col>
      <xdr:colOff>464820</xdr:colOff>
      <xdr:row>30</xdr:row>
      <xdr:rowOff>152400</xdr:rowOff>
    </xdr:to>
    <xdr:graphicFrame macro="">
      <xdr:nvGraphicFramePr>
        <xdr:cNvPr id="4" name="Gráfico 3">
          <a:extLst>
            <a:ext xmlns:a16="http://schemas.microsoft.com/office/drawing/2014/main" uri="{FF2B5EF4-FFF2-40B4-BE49-F238E27FC236}">
              <a16:creationId xmlns:a16="http://schemas.microsoft.com/office/drawing/2014/main" id="{0DDFC3BB-C273-45AD-A745-F62340386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182880</xdr:colOff>
      <xdr:row>32</xdr:row>
      <xdr:rowOff>7620</xdr:rowOff>
    </xdr:from>
    <xdr:to>
      <xdr:col>15</xdr:col>
      <xdr:colOff>487680</xdr:colOff>
      <xdr:row>47</xdr:row>
      <xdr:rowOff>7620</xdr:rowOff>
    </xdr:to>
    <xdr:graphicFrame macro="">
      <xdr:nvGraphicFramePr>
        <xdr:cNvPr id="5" name="Gráfico 4">
          <a:extLst>
            <a:ext xmlns:a16="http://schemas.microsoft.com/office/drawing/2014/main" uri="{FF2B5EF4-FFF2-40B4-BE49-F238E27FC236}">
              <a16:creationId xmlns:a16="http://schemas.microsoft.com/office/drawing/2014/main" id="{A982B45E-1100-4416-AFFF-5CE2682C3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true" workbookViewId="0">
      <selection sqref="A1:J11"/>
    </sheetView>
  </sheetViews>
  <sheetFormatPr xmlns:x14ac="http://schemas.microsoft.com/office/spreadsheetml/2009/9/ac" baseColWidth="10" defaultColWidth="8.88671875" defaultRowHeight="14.4" x14ac:dyDescent="0.3"/>
  <cols>
    <col min="1" max="1" width="8.5546875" customWidth="true"/>
    <col min="2" max="2" width="11.77734375" customWidth="true"/>
    <col min="3" max="3" width="13.44140625" customWidth="true"/>
    <col min="4" max="4" width="11.5546875" customWidth="true"/>
    <col min="5" max="5" width="17.88671875" customWidth="true"/>
    <col min="7" max="7" width="14.77734375" customWidth="true"/>
    <col min="8" max="8" width="9.33203125" customWidth="true"/>
    <col min="10" max="10" width="12.2187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1" t="s">
        <v>8</v>
      </c>
      <c r="H1" s="1" t="s">
        <v>5</v>
      </c>
      <c r="I1" s="1" t="s">
        <v>6</v>
      </c>
      <c r="J1" s="1" t="s">
        <v>7</v>
      </c>
    </row>
    <row xmlns:x14ac="http://schemas.microsoft.com/office/spreadsheetml/2009/9/ac" r="2" x14ac:dyDescent="0.3">
      <c r="A2" s="0">
        <v>10</v>
      </c>
      <c r="B2" s="0">
        <v>363230.37370320316</v>
      </c>
      <c r="C2" s="0">
        <v>406147.98992578982</v>
      </c>
      <c r="D2" s="0">
        <v>10.472511750056299</v>
      </c>
      <c r="E2" s="0">
        <v>3072.5647117255721</v>
      </c>
      <c r="G2">
        <f>ABS((B2-B$11)/B$11)*100</f>
        <v>0.40407889240804717</v>
      </c>
      <c r="H2">
        <f>ABS((C2-C$11)/C$11)*100</f>
        <v>1.9939375576385869E-4</v>
      </c>
      <c r="I2">
        <f t="shared" ref="I2:J11" si="0">ABS((D2-D$11)/D$11)*100</f>
        <v>0.408810044779364</v>
      </c>
      <c r="J2">
        <f t="shared" si="0"/>
        <v>2.0477067217887375</v>
      </c>
    </row>
    <row xmlns:x14ac="http://schemas.microsoft.com/office/spreadsheetml/2009/9/ac" r="3" x14ac:dyDescent="0.3">
      <c r="A3" s="0">
        <v>50</v>
      </c>
      <c r="B3" s="0">
        <v>364675.47011541273</v>
      </c>
      <c r="C3" s="0">
        <v>406148.79124656989</v>
      </c>
      <c r="D3" s="0">
        <v>10.514673864087626</v>
      </c>
      <c r="E3" s="0">
        <v>3012.1633343652143</v>
      </c>
      <c r="G3">
        <f>ABS((B3-B$11)/B$11)*100</f>
        <v>0.31309693926667848</v>
      </c>
      <c r="H3">
        <f t="shared" ref="H3:H11" si="1">ABS((C3-C$11)/C$11)*100</f>
        <v>1.9243955174113838E-4</v>
      </c>
      <c r="I3">
        <f t="shared" si="0"/>
        <v>0.31835951392429046</v>
      </c>
      <c r="J3">
        <f t="shared" si="0"/>
        <v>1.5994565647489183</v>
      </c>
    </row>
    <row xmlns:x14ac="http://schemas.microsoft.com/office/spreadsheetml/2009/9/ac" r="4" x14ac:dyDescent="0.3">
      <c r="A4" s="0">
        <v>100</v>
      </c>
      <c r="B4" s="0">
        <v>364693.06494147552</v>
      </c>
      <c r="C4" s="0">
        <v>406148.79505918018</v>
      </c>
      <c r="D4" s="0">
        <v>10.515180733275315</v>
      </c>
      <c r="E4" s="0">
        <v>3011.4224531972677</v>
      </c>
      <c r="G4">
        <f>ABS((B4-B$11)/B$11)*100</f>
        <v>0.21670815349481343</v>
      </c>
      <c r="H4">
        <f t="shared" si="1"/>
        <v>1.5288062668865381E-4</v>
      </c>
      <c r="I4">
        <f t="shared" si="0"/>
        <v>0.22117588337697722</v>
      </c>
      <c r="J4">
        <f t="shared" si="0"/>
        <v>1.102919399473395</v>
      </c>
    </row>
    <row xmlns:x14ac="http://schemas.microsoft.com/office/spreadsheetml/2009/9/ac" r="5" x14ac:dyDescent="0.3">
      <c r="A5">
        <v>40</v>
      </c>
      <c r="B5">
        <v>364970.38144946576</v>
      </c>
      <c r="C5">
        <v>406149.01592317596</v>
      </c>
      <c r="D5">
        <v>10.523344730510132</v>
      </c>
      <c r="E5">
        <v>2999.7397839042878</v>
      </c>
      <c r="G5">
        <f>ABS((B5-B$11)/B$11)*100</f>
        <v>7.3022382071190495E-2</v>
      </c>
      <c r="H5">
        <f t="shared" si="1"/>
        <v>5.3222375748227955E-5</v>
      </c>
      <c r="I5">
        <f t="shared" si="0"/>
        <v>7.4599965463931134E-2</v>
      </c>
      <c r="J5">
        <f t="shared" si="0"/>
        <v>0.37099477796526109</v>
      </c>
    </row>
    <row xmlns:x14ac="http://schemas.microsoft.com/office/spreadsheetml/2009/9/ac" r="6" x14ac:dyDescent="0.3">
      <c r="A6">
        <v>50</v>
      </c>
      <c r="B6">
        <v>364675.47011541273</v>
      </c>
      <c r="C6">
        <v>406148.79124656989</v>
      </c>
      <c r="D6">
        <v>10.514673864087626</v>
      </c>
      <c r="E6">
        <v>3012.1633343652143</v>
      </c>
      <c r="G6">
        <f>ABS((B6-B$11)/B$11)*100</f>
        <v>7.8408058297209041E-3</v>
      </c>
      <c r="H6">
        <f t="shared" si="1"/>
        <v>2.0964153457880371E-6</v>
      </c>
      <c r="I6">
        <f t="shared" si="0"/>
        <v>7.8579897592240856E-3</v>
      </c>
      <c r="J6">
        <f t="shared" si="0"/>
        <v>4.1623003213369467E-2</v>
      </c>
    </row>
    <row xmlns:x14ac="http://schemas.microsoft.com/office/spreadsheetml/2009/9/ac" r="7" x14ac:dyDescent="0.3">
      <c r="A7">
        <v>100</v>
      </c>
      <c r="B7">
        <v>364693.06494147552</v>
      </c>
      <c r="C7">
        <v>406148.79505918018</v>
      </c>
      <c r="D7">
        <v>10.515180733275315</v>
      </c>
      <c r="E7">
        <v>3011.4224531972677</v>
      </c>
      <c r="G7">
        <f>ABS((B7-B$11)/B$11)*100</f>
        <v>3.0163940092394403E-3</v>
      </c>
      <c r="H7">
        <f t="shared" si="1"/>
        <v>1.1576928159189639E-6</v>
      </c>
      <c r="I7">
        <f t="shared" si="0"/>
        <v>3.0377797887484593E-3</v>
      </c>
      <c r="J7">
        <f t="shared" si="0"/>
        <v>1.7016450956298886E-2</v>
      </c>
    </row>
    <row xmlns:x14ac="http://schemas.microsoft.com/office/spreadsheetml/2009/9/ac" r="8" x14ac:dyDescent="0.3">
      <c r="A8">
        <v>150</v>
      </c>
      <c r="B8">
        <v>364698.51756874775</v>
      </c>
      <c r="C8">
        <v>406148.79710631142</v>
      </c>
      <c r="D8">
        <v>10.515338754633888</v>
      </c>
      <c r="E8">
        <v>3011.1793811407988</v>
      </c>
      <c r="G8">
        <f>ABS((B8-B$11)/B$11)*100</f>
        <v>1.5213113428385002E-3</v>
      </c>
      <c r="H8">
        <f t="shared" si="1"/>
        <v>6.5365802702038214E-7</v>
      </c>
      <c r="I8">
        <f t="shared" si="0"/>
        <v>1.5350328342274371E-3</v>
      </c>
      <c r="J8">
        <f t="shared" si="0"/>
        <v>8.9434083166626266E-3</v>
      </c>
    </row>
    <row xmlns:x14ac="http://schemas.microsoft.com/office/spreadsheetml/2009/9/ac" r="9" x14ac:dyDescent="0.3">
      <c r="A9">
        <v>200</v>
      </c>
      <c r="B9">
        <v>364701.22703627287</v>
      </c>
      <c r="C9">
        <v>406148.79831924592</v>
      </c>
      <c r="D9">
        <v>10.515417490257732</v>
      </c>
      <c r="E9">
        <v>3011.0521943168178</v>
      </c>
      <c r="G9">
        <f>ABS((B9-B$11)/B$11)*100</f>
        <v>7.7838912759238478E-4</v>
      </c>
      <c r="H9">
        <f t="shared" si="1"/>
        <v>3.5501514085225942E-7</v>
      </c>
      <c r="I9">
        <f t="shared" si="0"/>
        <v>7.8627507126544723E-4</v>
      </c>
      <c r="J9">
        <f t="shared" si="0"/>
        <v>4.7192096649769904E-3</v>
      </c>
    </row>
    <row xmlns:x14ac="http://schemas.microsoft.com/office/spreadsheetml/2009/9/ac" r="10" x14ac:dyDescent="0.3">
      <c r="A10">
        <v>250</v>
      </c>
      <c r="B10">
        <v>364702.89666777779</v>
      </c>
      <c r="C10">
        <v>406148.79914360511</v>
      </c>
      <c r="D10">
        <v>10.515466092611348</v>
      </c>
      <c r="E10">
        <v>3010.9701011146885</v>
      </c>
      <c r="G10">
        <f>ABS((B10-B$11)/B$11)*100</f>
        <v>3.2058466056128916E-4</v>
      </c>
      <c r="H10">
        <f t="shared" si="1"/>
        <v>1.5204539481940703E-7</v>
      </c>
      <c r="I10">
        <f t="shared" si="0"/>
        <v>3.240778117432562E-4</v>
      </c>
      <c r="J10">
        <f>ABS((E10-E$11)/E$11)*100</f>
        <v>1.9926851485785537E-3</v>
      </c>
    </row>
    <row xmlns:x14ac="http://schemas.microsoft.com/office/spreadsheetml/2009/9/ac" r="11" x14ac:dyDescent="0.3">
      <c r="A11">
        <v>300</v>
      </c>
      <c r="B11">
        <v>364704.06585306936</v>
      </c>
      <c r="C11">
        <v>406148.79976113565</v>
      </c>
      <c r="D11">
        <v>10.515500171014196</v>
      </c>
      <c r="E11">
        <v>3010.9101031562259</v>
      </c>
      <c r="G11">
        <f>ABS((B11-B$11)/B$11)*100</f>
        <v>0</v>
      </c>
      <c r="H11">
        <f t="shared" si="1"/>
        <v>0</v>
      </c>
      <c r="I11">
        <f t="shared" si="0"/>
        <v>0</v>
      </c>
      <c r="J11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Resultats Malla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Prat</cp:lastModifiedBy>
  <dcterms:modified xsi:type="dcterms:W3CDTF">2026-06-13T19:32:29Z</dcterms:modified>
</cp:coreProperties>
</file>